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SimplifyLife-myfiles2\2020_HollandCollage\ELEC-1000\ELEC1000-submissions\q-Resistive-Resistive-Inductive-Capacitive-Parallel_Circuits(25)\"/>
    </mc:Choice>
  </mc:AlternateContent>
  <xr:revisionPtr revIDLastSave="0" documentId="13_ncr:1_{5F2F84AE-036D-4B4B-AF5F-EF2E02BF56CE}" xr6:coauthVersionLast="45" xr6:coauthVersionMax="45" xr10:uidLastSave="{00000000-0000-0000-0000-000000000000}"/>
  <bookViews>
    <workbookView xWindow="-120" yWindow="-120" windowWidth="21840" windowHeight="13140" xr2:uid="{77605BB7-84E1-47F7-9B15-124C9D5FBDDE}"/>
  </bookViews>
  <sheets>
    <sheet name="Sheet1" sheetId="1" r:id="rId1"/>
  </sheets>
  <definedNames>
    <definedName name="_Hlk57307723" localSheetId="0">Sheet1!$C$13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6" i="1" l="1"/>
  <c r="E156" i="1"/>
  <c r="E158" i="1"/>
  <c r="E113" i="1" l="1"/>
  <c r="E112" i="1"/>
  <c r="E114" i="1" l="1"/>
  <c r="E115" i="1" s="1"/>
  <c r="D125" i="1" l="1"/>
  <c r="E121" i="1" s="1"/>
  <c r="G121" i="1"/>
  <c r="D106" i="1" s="1"/>
  <c r="E106" i="1" s="1"/>
  <c r="G123" i="1"/>
  <c r="G124" i="1" s="1"/>
  <c r="E85" i="1"/>
  <c r="E84" i="1"/>
  <c r="E64" i="1"/>
  <c r="E63" i="1"/>
  <c r="D78" i="1" l="1"/>
  <c r="E78" i="1" s="1"/>
  <c r="E65" i="1"/>
  <c r="E66" i="1" s="1"/>
  <c r="D57" i="1" s="1"/>
  <c r="E57" i="1" s="1"/>
  <c r="E36" i="1"/>
  <c r="D18" i="1" s="1"/>
  <c r="E18" i="1" s="1"/>
  <c r="E12" i="1"/>
  <c r="E35" i="1" s="1"/>
  <c r="E11" i="1"/>
  <c r="E34" i="1" s="1"/>
  <c r="D16" i="1" s="1"/>
  <c r="E16" i="1" s="1"/>
  <c r="E38" i="1" l="1"/>
  <c r="D20" i="1" s="1"/>
  <c r="E20" i="1" s="1"/>
  <c r="D17" i="1"/>
  <c r="E17" i="1" s="1"/>
  <c r="E42" i="1"/>
  <c r="D22" i="1" s="1"/>
  <c r="E22" i="1" s="1"/>
  <c r="E43" i="1"/>
  <c r="D23" i="1" s="1"/>
  <c r="E23" i="1" s="1"/>
  <c r="E37" i="1" l="1"/>
  <c r="E39" i="1" l="1"/>
  <c r="D19" i="1"/>
  <c r="E19" i="1" s="1"/>
  <c r="E40" i="1" l="1"/>
  <c r="D25" i="1" s="1"/>
  <c r="E25" i="1" s="1"/>
  <c r="D24" i="1"/>
  <c r="E24" i="1" s="1"/>
  <c r="D21" i="1" l="1"/>
  <c r="E21" i="1" s="1"/>
  <c r="E41" i="1"/>
  <c r="D26" i="1" s="1"/>
  <c r="E26" i="1" s="1"/>
  <c r="D27" i="1" l="1"/>
  <c r="E27" i="1" s="1"/>
</calcChain>
</file>

<file path=xl/sharedStrings.xml><?xml version="1.0" encoding="utf-8"?>
<sst xmlns="http://schemas.openxmlformats.org/spreadsheetml/2006/main" count="183" uniqueCount="82">
  <si>
    <t>mH</t>
  </si>
  <si>
    <t xml:space="preserve">µF </t>
  </si>
  <si>
    <t>Hz</t>
  </si>
  <si>
    <t>H</t>
  </si>
  <si>
    <t>V</t>
  </si>
  <si>
    <t>Ω</t>
  </si>
  <si>
    <t>VA</t>
  </si>
  <si>
    <t>ϴ</t>
  </si>
  <si>
    <t>PF</t>
  </si>
  <si>
    <t>P</t>
  </si>
  <si>
    <t>unit</t>
  </si>
  <si>
    <t>Calculations:</t>
  </si>
  <si>
    <t>Symbol</t>
  </si>
  <si>
    <t>Name</t>
  </si>
  <si>
    <t>frequency</t>
  </si>
  <si>
    <t>f</t>
  </si>
  <si>
    <t>resistance</t>
  </si>
  <si>
    <t>𝕀</t>
  </si>
  <si>
    <t>given value</t>
  </si>
  <si>
    <t>Given parameters:</t>
  </si>
  <si>
    <t xml:space="preserve">Parameters to find:  </t>
  </si>
  <si>
    <t>Xʟ</t>
  </si>
  <si>
    <t>Xᴄ</t>
  </si>
  <si>
    <t>Iʀ</t>
  </si>
  <si>
    <t>Iʟ</t>
  </si>
  <si>
    <t>Iᴄ</t>
  </si>
  <si>
    <t>VARsʟ</t>
  </si>
  <si>
    <t>VARsᴄ</t>
  </si>
  <si>
    <t>Iᴛ</t>
  </si>
  <si>
    <t>∠ϴ</t>
  </si>
  <si>
    <t>Ancillary Parameters:</t>
  </si>
  <si>
    <t>Total Voltage</t>
  </si>
  <si>
    <t>inductance</t>
  </si>
  <si>
    <t>capacitance</t>
  </si>
  <si>
    <t>L</t>
  </si>
  <si>
    <t>R</t>
  </si>
  <si>
    <t>E</t>
  </si>
  <si>
    <t xml:space="preserve">F </t>
  </si>
  <si>
    <t>inductive reactance</t>
  </si>
  <si>
    <t>capacitive reactance</t>
  </si>
  <si>
    <t>current in resistor</t>
  </si>
  <si>
    <t>current in inductor</t>
  </si>
  <si>
    <t>current in capacitor</t>
  </si>
  <si>
    <t>true power</t>
  </si>
  <si>
    <t>reactive power in inductor</t>
  </si>
  <si>
    <t>reactive power in capacitor</t>
  </si>
  <si>
    <t>current in power supply</t>
  </si>
  <si>
    <t>apearant power</t>
  </si>
  <si>
    <t>power factor</t>
  </si>
  <si>
    <t>phase angle</t>
  </si>
  <si>
    <t>A</t>
  </si>
  <si>
    <t>𝕊</t>
  </si>
  <si>
    <t>𝕀ʟ</t>
  </si>
  <si>
    <t>𝕀ᴄ</t>
  </si>
  <si>
    <t>𝕀ᴛ</t>
  </si>
  <si>
    <t>complex current</t>
  </si>
  <si>
    <t>W</t>
  </si>
  <si>
    <t>var</t>
  </si>
  <si>
    <t>va</t>
  </si>
  <si>
    <t>%</t>
  </si>
  <si>
    <t>°</t>
  </si>
  <si>
    <t>ℤ</t>
  </si>
  <si>
    <t>complex impedance</t>
  </si>
  <si>
    <t>ℤʟ</t>
  </si>
  <si>
    <t>ℤᴄ</t>
  </si>
  <si>
    <t>complex power</t>
  </si>
  <si>
    <t>value</t>
  </si>
  <si>
    <t>impedance</t>
  </si>
  <si>
    <t>Z</t>
  </si>
  <si>
    <t>ℤᴛ</t>
  </si>
  <si>
    <t>1/ℤʟ</t>
  </si>
  <si>
    <t>1/ℤᴄ</t>
  </si>
  <si>
    <t>1/ℤᴛ</t>
  </si>
  <si>
    <t>Review Questions 1, 2, 3    Practice Problem 6 &amp; 10</t>
  </si>
  <si>
    <t>Circuit Power Factor</t>
  </si>
  <si>
    <r>
      <t xml:space="preserve">ℤᴛ = </t>
    </r>
    <r>
      <rPr>
        <i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∠</t>
    </r>
    <r>
      <rPr>
        <i/>
        <sz val="11"/>
        <color theme="1"/>
        <rFont val="Calibri"/>
        <family val="2"/>
        <scheme val="minor"/>
      </rPr>
      <t>ϴ</t>
    </r>
  </si>
  <si>
    <r>
      <t xml:space="preserve"> </t>
    </r>
    <r>
      <rPr>
        <i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∠</t>
    </r>
    <r>
      <rPr>
        <i/>
        <sz val="11"/>
        <color theme="1"/>
        <rFont val="Calibri"/>
        <family val="2"/>
        <scheme val="minor"/>
      </rPr>
      <t>ϴ</t>
    </r>
  </si>
  <si>
    <t>or</t>
  </si>
  <si>
    <t>radians</t>
  </si>
  <si>
    <t>voltage</t>
  </si>
  <si>
    <t>total circuit curent</t>
  </si>
  <si>
    <t>total appearent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</si>
</sst>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2" borderId="0" xfId="0" applyFill="1"/>
    <xf numFmtId="9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484315</xdr:colOff>
      <xdr:row>0</xdr:row>
      <xdr:rowOff>56030</xdr:rowOff>
    </xdr:from>
    <xdr:to>
      <xdr:col>9</xdr:col>
      <xdr:colOff>166967</xdr:colOff>
      <xdr:row>5</xdr:row>
      <xdr:rowOff>170295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E1102-8C3F-425B-95BC-E983CAE0B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7727" y="56030"/>
          <a:ext cx="2338446" cy="1066765"/>
        </a:xfrm>
        <a:prstGeom prst="rect">
          <a:avLst/>
        </a:prstGeom>
      </xdr:spPr>
    </xdr:pic>
    <xdr:clientData/>
  </xdr:twoCellAnchor>
  <xdr:oneCellAnchor>
    <xdr:from>
      <xdr:col>6</xdr:col>
      <xdr:colOff>83826</xdr:colOff>
      <xdr:row>34</xdr:row>
      <xdr:rowOff>75647</xdr:rowOff>
    </xdr:from>
    <xdr:ext cx="689612" cy="3490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9892E80-2C51-4A2C-93DD-AC8215CFADFF}"/>
                </a:ext>
              </a:extLst>
            </xdr:cNvPr>
            <xdr:cNvSpPr txBox="1"/>
          </xdr:nvSpPr>
          <xdr:spPr>
            <a:xfrm>
              <a:off x="3849002" y="5779441"/>
              <a:ext cx="689612" cy="3490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ℤ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𝕛</m:t>
                        </m:r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𝜋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𝑓𝐿</m:t>
                        </m:r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9892E80-2C51-4A2C-93DD-AC8215CFADFF}"/>
                </a:ext>
              </a:extLst>
            </xdr:cNvPr>
            <xdr:cNvSpPr txBox="1"/>
          </xdr:nvSpPr>
          <xdr:spPr>
            <a:xfrm>
              <a:off x="3849002" y="5779441"/>
              <a:ext cx="689612" cy="3490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ℤ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𝐶=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"−" 𝕛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2𝜋𝑓𝐿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33</xdr:row>
      <xdr:rowOff>0</xdr:rowOff>
    </xdr:from>
    <xdr:ext cx="73154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A8B5A24-6776-418A-AC1E-BC2073435A02}"/>
                </a:ext>
              </a:extLst>
            </xdr:cNvPr>
            <xdr:cNvSpPr txBox="1"/>
          </xdr:nvSpPr>
          <xdr:spPr>
            <a:xfrm>
              <a:off x="3765176" y="5513294"/>
              <a:ext cx="73154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ℤ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𝕛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𝜋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𝑓𝐿</m:t>
                    </m:r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A8B5A24-6776-418A-AC1E-BC2073435A02}"/>
                </a:ext>
              </a:extLst>
            </xdr:cNvPr>
            <xdr:cNvSpPr txBox="1"/>
          </xdr:nvSpPr>
          <xdr:spPr>
            <a:xfrm>
              <a:off x="3765176" y="5513294"/>
              <a:ext cx="73154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ℤ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𝐿=𝕛2𝜋𝑓𝐿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6</xdr:col>
      <xdr:colOff>125505</xdr:colOff>
      <xdr:row>35</xdr:row>
      <xdr:rowOff>30256</xdr:rowOff>
    </xdr:from>
    <xdr:ext cx="485197" cy="3157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49C9D04-0104-4363-82C1-46DC55AC92AB}"/>
                </a:ext>
              </a:extLst>
            </xdr:cNvPr>
            <xdr:cNvSpPr txBox="1"/>
          </xdr:nvSpPr>
          <xdr:spPr>
            <a:xfrm>
              <a:off x="3890681" y="6921874"/>
              <a:ext cx="485197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49C9D04-0104-4363-82C1-46DC55AC92AB}"/>
                </a:ext>
              </a:extLst>
            </xdr:cNvPr>
            <xdr:cNvSpPr txBox="1"/>
          </xdr:nvSpPr>
          <xdr:spPr>
            <a:xfrm>
              <a:off x="3890681" y="6921874"/>
              <a:ext cx="485197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𝐼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𝑅=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6</xdr:col>
      <xdr:colOff>125506</xdr:colOff>
      <xdr:row>35</xdr:row>
      <xdr:rowOff>411255</xdr:rowOff>
    </xdr:from>
    <xdr:ext cx="497316" cy="3445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81429FF-F788-4EA9-B049-4B9770154A53}"/>
                </a:ext>
              </a:extLst>
            </xdr:cNvPr>
            <xdr:cNvSpPr txBox="1"/>
          </xdr:nvSpPr>
          <xdr:spPr>
            <a:xfrm>
              <a:off x="3890682" y="7302873"/>
              <a:ext cx="497316" cy="3445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𝕀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𝔼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ℤ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81429FF-F788-4EA9-B049-4B9770154A53}"/>
                </a:ext>
              </a:extLst>
            </xdr:cNvPr>
            <xdr:cNvSpPr txBox="1"/>
          </xdr:nvSpPr>
          <xdr:spPr>
            <a:xfrm>
              <a:off x="3890682" y="7302873"/>
              <a:ext cx="497316" cy="3445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𝕀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𝐿=𝔼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ℤ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𝐿 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6</xdr:col>
      <xdr:colOff>136712</xdr:colOff>
      <xdr:row>37</xdr:row>
      <xdr:rowOff>19050</xdr:rowOff>
    </xdr:from>
    <xdr:ext cx="506356" cy="3453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6F63386-A827-4533-8347-DDDCF9EDFF21}"/>
                </a:ext>
              </a:extLst>
            </xdr:cNvPr>
            <xdr:cNvSpPr txBox="1"/>
          </xdr:nvSpPr>
          <xdr:spPr>
            <a:xfrm>
              <a:off x="3901888" y="7650256"/>
              <a:ext cx="506356" cy="3453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𝕀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𝔼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ℤ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6F63386-A827-4533-8347-DDDCF9EDFF21}"/>
                </a:ext>
              </a:extLst>
            </xdr:cNvPr>
            <xdr:cNvSpPr txBox="1"/>
          </xdr:nvSpPr>
          <xdr:spPr>
            <a:xfrm>
              <a:off x="3901888" y="7650256"/>
              <a:ext cx="506356" cy="3453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𝕀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𝐶=𝔼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ℤ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 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6</xdr:col>
      <xdr:colOff>103094</xdr:colOff>
      <xdr:row>38</xdr:row>
      <xdr:rowOff>7843</xdr:rowOff>
    </xdr:from>
    <xdr:ext cx="106894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5198D110-9A3C-4553-AB2A-E195EAED56CD}"/>
                </a:ext>
              </a:extLst>
            </xdr:cNvPr>
            <xdr:cNvSpPr txBox="1"/>
          </xdr:nvSpPr>
          <xdr:spPr>
            <a:xfrm>
              <a:off x="3868270" y="8031255"/>
              <a:ext cx="10689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𝕀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𝕀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𝕀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𝕀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</m:sub>
                    </m:sSub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5198D110-9A3C-4553-AB2A-E195EAED56CD}"/>
                </a:ext>
              </a:extLst>
            </xdr:cNvPr>
            <xdr:cNvSpPr txBox="1"/>
          </xdr:nvSpPr>
          <xdr:spPr>
            <a:xfrm>
              <a:off x="3868270" y="8031255"/>
              <a:ext cx="10689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𝕀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𝑇=𝕀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𝑅+𝕀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𝐿+𝕀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6</xdr:col>
      <xdr:colOff>91888</xdr:colOff>
      <xdr:row>40</xdr:row>
      <xdr:rowOff>187137</xdr:rowOff>
    </xdr:from>
    <xdr:ext cx="573427" cy="3823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6873014-E4E4-4239-B41B-13803A3BFBB2}"/>
                </a:ext>
              </a:extLst>
            </xdr:cNvPr>
            <xdr:cNvSpPr txBox="1"/>
          </xdr:nvSpPr>
          <xdr:spPr>
            <a:xfrm>
              <a:off x="3991535" y="8591549"/>
              <a:ext cx="573427" cy="3823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𝕊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𝐸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sub>
                            </m:sSub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ℤ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𝐿</m:t>
                                </m:r>
                              </m:sub>
                            </m:sSub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6873014-E4E4-4239-B41B-13803A3BFBB2}"/>
                </a:ext>
              </a:extLst>
            </xdr:cNvPr>
            <xdr:cNvSpPr txBox="1"/>
          </xdr:nvSpPr>
          <xdr:spPr>
            <a:xfrm>
              <a:off x="3991535" y="8591549"/>
              <a:ext cx="573427" cy="3823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𝕊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𝐿=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𝐸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ℤ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𝐿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∗ 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6</xdr:col>
      <xdr:colOff>47064</xdr:colOff>
      <xdr:row>42</xdr:row>
      <xdr:rowOff>75078</xdr:rowOff>
    </xdr:from>
    <xdr:ext cx="582467" cy="3832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C6B4060B-B5E8-4002-B4EC-85C98E44B57E}"/>
                </a:ext>
              </a:extLst>
            </xdr:cNvPr>
            <xdr:cNvSpPr txBox="1"/>
          </xdr:nvSpPr>
          <xdr:spPr>
            <a:xfrm>
              <a:off x="3946711" y="9050990"/>
              <a:ext cx="582467" cy="3832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𝕊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𝐸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sub>
                            </m:sSub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n-CA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ℤ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𝑐</m:t>
                                </m:r>
                              </m:sub>
                            </m:sSub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C6B4060B-B5E8-4002-B4EC-85C98E44B57E}"/>
                </a:ext>
              </a:extLst>
            </xdr:cNvPr>
            <xdr:cNvSpPr txBox="1"/>
          </xdr:nvSpPr>
          <xdr:spPr>
            <a:xfrm>
              <a:off x="3946711" y="9050990"/>
              <a:ext cx="582467" cy="3832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𝕊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𝐶=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𝐸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ℤ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𝑐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∗ </a:t>
              </a:r>
              <a:endParaRPr lang="en-CA" sz="1100"/>
            </a:p>
          </xdr:txBody>
        </xdr:sp>
      </mc:Fallback>
    </mc:AlternateContent>
    <xdr:clientData/>
  </xdr:oneCellAnchor>
  <xdr:twoCellAnchor>
    <xdr:from>
      <xdr:col>1</xdr:col>
      <xdr:colOff>56029</xdr:colOff>
      <xdr:row>1</xdr:row>
      <xdr:rowOff>56030</xdr:rowOff>
    </xdr:from>
    <xdr:to>
      <xdr:col>6</xdr:col>
      <xdr:colOff>257734</xdr:colOff>
      <xdr:row>4</xdr:row>
      <xdr:rowOff>168088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AA8FE6-8ACF-49DE-99D8-CC25DE422492}"/>
            </a:ext>
          </a:extLst>
        </xdr:cNvPr>
        <xdr:cNvSpPr txBox="1"/>
      </xdr:nvSpPr>
      <xdr:spPr>
        <a:xfrm>
          <a:off x="246529" y="246530"/>
          <a:ext cx="4224617" cy="6835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Review Question 1.</a:t>
          </a:r>
          <a:r>
            <a:rPr lang="en-CA" sz="1100" b="1"/>
            <a:t> An AC circuit contains a 24-</a:t>
          </a:r>
          <a:r>
            <a:rPr lang="el-GR" sz="1100" b="1"/>
            <a:t>Ω </a:t>
          </a:r>
          <a:r>
            <a:rPr lang="en-CA" sz="1100" b="1"/>
            <a:t>resistor, a 15.9-mH inductor, and a 13.3-µF capacitor connected in parallel. The circuit is connected to a 240-V, 400-Hz power supply. Find the following values.</a:t>
          </a:r>
        </a:p>
      </xdr:txBody>
    </xdr:sp>
    <xdr:clientData/>
  </xdr:twoCellAnchor>
  <xdr:twoCellAnchor>
    <xdr:from>
      <xdr:col>0</xdr:col>
      <xdr:colOff>67235</xdr:colOff>
      <xdr:row>44</xdr:row>
      <xdr:rowOff>78441</xdr:rowOff>
    </xdr:from>
    <xdr:to>
      <xdr:col>8</xdr:col>
      <xdr:colOff>974912</xdr:colOff>
      <xdr:row>48</xdr:row>
      <xdr:rowOff>22411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6B291A8-7669-459C-A242-B02FD47D80D5}"/>
            </a:ext>
          </a:extLst>
        </xdr:cNvPr>
        <xdr:cNvSpPr txBox="1"/>
      </xdr:nvSpPr>
      <xdr:spPr>
        <a:xfrm>
          <a:off x="67235" y="9726706"/>
          <a:ext cx="6297706" cy="705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 i="0" u="sng"/>
            <a:t>Review Question 2.</a:t>
          </a:r>
          <a:r>
            <a:rPr lang="en-CA" sz="1100" b="1"/>
            <a:t> An RLC parallel circuit contains a resistor with a resistance of 16 </a:t>
          </a:r>
          <a:r>
            <a:rPr lang="el-GR" sz="1100" b="1"/>
            <a:t>Ω, </a:t>
          </a:r>
          <a:r>
            <a:rPr lang="en-CA" sz="1100" b="1"/>
            <a:t>an inductor with an inductive reactance of 8 </a:t>
          </a:r>
          <a:r>
            <a:rPr lang="el-GR" sz="1100" b="1"/>
            <a:t>Ω, </a:t>
          </a:r>
          <a:r>
            <a:rPr lang="en-CA" sz="1100" b="1"/>
            <a:t>and a capacitor with a capacitive reactance of 20 </a:t>
          </a:r>
          <a:r>
            <a:rPr lang="el-GR" sz="1100" b="1"/>
            <a:t>Ω. </a:t>
          </a:r>
          <a:r>
            <a:rPr lang="en-CA" sz="1100" b="1"/>
            <a:t>What is the total impedance of this circuit?</a:t>
          </a:r>
        </a:p>
      </xdr:txBody>
    </xdr:sp>
    <xdr:clientData/>
  </xdr:twoCellAnchor>
  <xdr:twoCellAnchor>
    <xdr:from>
      <xdr:col>0</xdr:col>
      <xdr:colOff>74544</xdr:colOff>
      <xdr:row>66</xdr:row>
      <xdr:rowOff>124239</xdr:rowOff>
    </xdr:from>
    <xdr:to>
      <xdr:col>8</xdr:col>
      <xdr:colOff>982221</xdr:colOff>
      <xdr:row>69</xdr:row>
      <xdr:rowOff>24848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5F94AD7-4099-4579-B9F4-3F56AD15BB3B}"/>
            </a:ext>
          </a:extLst>
        </xdr:cNvPr>
        <xdr:cNvSpPr txBox="1"/>
      </xdr:nvSpPr>
      <xdr:spPr>
        <a:xfrm>
          <a:off x="74544" y="13964478"/>
          <a:ext cx="6357634" cy="4721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 u="sng"/>
            <a:t>Review Question 3.</a:t>
          </a:r>
          <a:r>
            <a:rPr lang="en-CA" sz="1100" b="1"/>
            <a:t> The circuit shown in Figure 25–2 has a current of 38 A flowing through the resistor, 22 A flowing through the inductor, and 7 A flowing through the capacitor. What is the total circuit current?</a:t>
          </a:r>
        </a:p>
      </xdr:txBody>
    </xdr:sp>
    <xdr:clientData/>
  </xdr:twoCellAnchor>
  <xdr:twoCellAnchor>
    <xdr:from>
      <xdr:col>0</xdr:col>
      <xdr:colOff>123825</xdr:colOff>
      <xdr:row>94</xdr:row>
      <xdr:rowOff>85726</xdr:rowOff>
    </xdr:from>
    <xdr:to>
      <xdr:col>8</xdr:col>
      <xdr:colOff>1192282</xdr:colOff>
      <xdr:row>96</xdr:row>
      <xdr:rowOff>180976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A190F05-4EEF-43B8-974E-675528BD6822}"/>
            </a:ext>
          </a:extLst>
        </xdr:cNvPr>
        <xdr:cNvSpPr txBox="1"/>
      </xdr:nvSpPr>
      <xdr:spPr>
        <a:xfrm>
          <a:off x="123825" y="28784551"/>
          <a:ext cx="6592957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 u="sng"/>
            <a:t>Practice Problem 6.</a:t>
          </a:r>
          <a:r>
            <a:rPr lang="en-CA" sz="1100" b="1"/>
            <a:t> In an RLC parallel circuit, the resistor has a resistance of 60 </a:t>
          </a:r>
          <a:r>
            <a:rPr lang="el-GR" sz="1100" b="1"/>
            <a:t>Ω</a:t>
          </a:r>
          <a:r>
            <a:rPr lang="en-CA" sz="1100" b="1"/>
            <a:t>, the inductor has a reactance of 180 </a:t>
          </a:r>
          <a:r>
            <a:rPr lang="el-GR" sz="1100" b="1"/>
            <a:t>Ω</a:t>
          </a:r>
          <a:r>
            <a:rPr lang="en-CA" sz="1100" b="1"/>
            <a:t>, and the capacitor has a reactance of 80 </a:t>
          </a:r>
          <a:r>
            <a:rPr lang="el-GR" sz="1100" b="1"/>
            <a:t>Ω</a:t>
          </a:r>
          <a:r>
            <a:rPr lang="en-CA" sz="1100" b="1"/>
            <a:t>. Find the circuit power factor.</a:t>
          </a:r>
        </a:p>
      </xdr:txBody>
    </xdr:sp>
    <xdr:clientData/>
  </xdr:twoCellAnchor>
  <xdr:twoCellAnchor>
    <xdr:from>
      <xdr:col>0</xdr:col>
      <xdr:colOff>133350</xdr:colOff>
      <xdr:row>144</xdr:row>
      <xdr:rowOff>114300</xdr:rowOff>
    </xdr:from>
    <xdr:to>
      <xdr:col>8</xdr:col>
      <xdr:colOff>1201807</xdr:colOff>
      <xdr:row>147</xdr:row>
      <xdr:rowOff>66675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283BC80-13DA-4DCE-90AA-428A4B6E5F13}"/>
            </a:ext>
          </a:extLst>
        </xdr:cNvPr>
        <xdr:cNvSpPr txBox="1"/>
      </xdr:nvSpPr>
      <xdr:spPr>
        <a:xfrm>
          <a:off x="133350" y="38338125"/>
          <a:ext cx="6592957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 u="sng"/>
            <a:t>Practice Problem 10.</a:t>
          </a:r>
          <a:r>
            <a:rPr lang="en-CA" sz="1100" b="1"/>
            <a:t> An RLC parallel circuit is connected to 240 volts. The resistor has a power dissipation of 600 watts. If the circuit power factor is 75%, what is the total circuit current (Iᴛ)?</a:t>
          </a:r>
        </a:p>
      </xdr:txBody>
    </xdr:sp>
    <xdr:clientData/>
  </xdr:twoCellAnchor>
  <xdr:oneCellAnchor>
    <xdr:from>
      <xdr:col>1</xdr:col>
      <xdr:colOff>0</xdr:colOff>
      <xdr:row>116</xdr:row>
      <xdr:rowOff>28575</xdr:rowOff>
    </xdr:from>
    <xdr:ext cx="6474978" cy="3456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A7E936B-9C7A-43BC-B0BD-A572029EC2AC}"/>
                </a:ext>
              </a:extLst>
            </xdr:cNvPr>
            <xdr:cNvSpPr txBox="1"/>
          </xdr:nvSpPr>
          <xdr:spPr>
            <a:xfrm>
              <a:off x="190500" y="23393400"/>
              <a:ext cx="6474978" cy="3456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𝕊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sub>
                        </m:sSub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sSub>
                      <m:sSub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ℤ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⇔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𝑉𝐴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∠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l-G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𝛳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sub>
                    </m:sSub>
                    <m:r>
                      <a:rPr lang="el-G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°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sub>
                        </m:sSub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𝑉𝐴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∠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l-G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𝛳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𝑍</m:t>
                        </m:r>
                      </m:sub>
                    </m:sSub>
                    <m:r>
                      <a:rPr lang="el-G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°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⇔</m:t>
                    </m:r>
                    <m:f>
                      <m:f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𝑉𝐴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∠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l-G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𝛳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sub>
                        </m:sSub>
                        <m:r>
                          <a:rPr lang="el-G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°</m:t>
                        </m:r>
                      </m:num>
                      <m:den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𝑍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∠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l-G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𝛳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𝑍</m:t>
                            </m:r>
                          </m:sub>
                        </m:sSub>
                        <m:r>
                          <a:rPr lang="el-G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°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sub>
                        </m:sSub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∠0</m:t>
                    </m:r>
                    <m:r>
                      <a:rPr lang="el-G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°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⇔</m:t>
                    </m:r>
                    <m:f>
                      <m:f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𝑉𝐴</m:t>
                        </m:r>
                      </m:num>
                      <m:den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𝑍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sub>
                        </m:sSub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∠</m:t>
                    </m:r>
                    <m:d>
                      <m:d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l-G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𝛳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sub>
                            </m:sSub>
                            <m:r>
                              <a:rPr lang="el-G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°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l-G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𝛳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𝑍</m:t>
                            </m:r>
                          </m:sub>
                        </m:sSub>
                        <m:r>
                          <a:rPr lang="el-G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°</m:t>
                        </m:r>
                      </m:e>
                    </m:d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en-CA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CA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sub>
                        </m:sSub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∠0</m:t>
                    </m:r>
                    <m:r>
                      <a:rPr lang="el-G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°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⇔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l-G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𝛳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sub>
                        </m:sSub>
                        <m:r>
                          <a:rPr lang="el-G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°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l-G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𝛳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𝑍</m:t>
                        </m:r>
                      </m:sub>
                    </m:sSub>
                    <m:r>
                      <a:rPr lang="el-G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°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</m:t>
                    </m:r>
                    <m:r>
                      <a:rPr lang="el-G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°</m:t>
                    </m:r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A7E936B-9C7A-43BC-B0BD-A572029EC2AC}"/>
                </a:ext>
              </a:extLst>
            </xdr:cNvPr>
            <xdr:cNvSpPr txBox="1"/>
          </xdr:nvSpPr>
          <xdr:spPr>
            <a:xfrm>
              <a:off x="190500" y="23393400"/>
              <a:ext cx="6474978" cy="3456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𝕊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𝐼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ℤ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⇔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𝑉𝐴∠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𝛳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_𝑆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°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𝐼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𝑉𝐴∠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𝛳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𝑍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°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⇔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𝑉𝐴∠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𝛳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_𝑆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°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𝑍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_𝑇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∠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𝛳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_𝑍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°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𝐼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∠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°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⇔𝑉𝐴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𝑍_𝑇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∠(〖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𝛳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_𝑆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°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𝛳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〗_𝑍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°)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𝐼</a:t>
              </a:r>
              <a:r>
                <a:rPr lang="en-C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</a:t>
              </a:r>
              <a:r>
                <a:rPr lang="en-CA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∠0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°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⇔〖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𝛳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_𝑆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°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𝛳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〗_𝑍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°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°</a:t>
              </a:r>
              <a:endParaRPr lang="en-CA" sz="1100"/>
            </a:p>
          </xdr:txBody>
        </xdr:sp>
      </mc:Fallback>
    </mc:AlternateContent>
    <xdr:clientData/>
  </xdr:oneCellAnchor>
  <xdr:oneCellAnchor>
    <xdr:from>
      <xdr:col>4</xdr:col>
      <xdr:colOff>123825</xdr:colOff>
      <xdr:row>118</xdr:row>
      <xdr:rowOff>95250</xdr:rowOff>
    </xdr:from>
    <xdr:ext cx="75264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1D5725A-0A92-40D9-A4D6-2511DCD6F294}"/>
                </a:ext>
              </a:extLst>
            </xdr:cNvPr>
            <xdr:cNvSpPr txBox="1"/>
          </xdr:nvSpPr>
          <xdr:spPr>
            <a:xfrm>
              <a:off x="2743200" y="23841075"/>
              <a:ext cx="75264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∴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l-G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𝛳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sub>
                        </m:sSub>
                        <m:r>
                          <a:rPr lang="el-G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°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l-G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𝛳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𝑍</m:t>
                        </m:r>
                      </m:sub>
                    </m:sSub>
                    <m:r>
                      <a:rPr lang="el-G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°</m:t>
                    </m:r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1D5725A-0A92-40D9-A4D6-2511DCD6F294}"/>
                </a:ext>
              </a:extLst>
            </xdr:cNvPr>
            <xdr:cNvSpPr txBox="1"/>
          </xdr:nvSpPr>
          <xdr:spPr>
            <a:xfrm>
              <a:off x="2743200" y="23841075"/>
              <a:ext cx="75264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∴〖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𝛳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_𝑆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°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𝛳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〗_𝑍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°</a:t>
              </a:r>
              <a:endParaRPr lang="en-CA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EC090-A5A9-4232-9DDB-B1C98E542E02}">
  <dimension ref="A1:L158"/>
  <sheetViews>
    <sheetView tabSelected="1" view="pageLayout" topLeftCell="A145" zoomScaleNormal="85" workbookViewId="0">
      <selection activeCell="E157" sqref="E157"/>
    </sheetView>
  </sheetViews>
  <sheetFormatPr defaultRowHeight="15" x14ac:dyDescent="0.25"/>
  <cols>
    <col min="1" max="1" width="2.7109375" customWidth="1"/>
    <col min="2" max="2" width="26" style="3" customWidth="1"/>
    <col min="3" max="3" width="6.28515625" customWidth="1"/>
    <col min="4" max="4" width="1.5703125" customWidth="1"/>
    <col min="5" max="5" width="9.28515625" customWidth="1"/>
    <col min="6" max="6" width="11.140625" customWidth="1"/>
    <col min="7" max="7" width="10.85546875" customWidth="1"/>
    <col min="9" max="9" width="16.85546875" customWidth="1"/>
    <col min="10" max="10" width="2.85546875" customWidth="1"/>
    <col min="11" max="11" width="15.28515625" customWidth="1"/>
    <col min="12" max="12" width="9.140625" customWidth="1"/>
  </cols>
  <sheetData>
    <row r="1" spans="1:8" x14ac:dyDescent="0.25">
      <c r="A1" s="12" t="s">
        <v>73</v>
      </c>
    </row>
    <row r="2" spans="1:8" ht="15" customHeight="1" x14ac:dyDescent="0.25">
      <c r="A2" s="13"/>
      <c r="B2" s="6"/>
      <c r="C2" s="6"/>
      <c r="D2" s="6"/>
      <c r="E2" s="6"/>
      <c r="F2" s="6"/>
    </row>
    <row r="3" spans="1:8" ht="15" customHeight="1" x14ac:dyDescent="0.25">
      <c r="A3" s="13"/>
      <c r="B3" s="6"/>
      <c r="C3" s="6"/>
      <c r="D3" s="6"/>
      <c r="E3" s="6"/>
      <c r="F3" s="6"/>
    </row>
    <row r="4" spans="1:8" ht="15" customHeight="1" x14ac:dyDescent="0.25">
      <c r="A4" s="13"/>
      <c r="B4" s="6"/>
      <c r="C4" s="6"/>
      <c r="D4" s="6"/>
      <c r="E4" s="6"/>
      <c r="F4" s="6"/>
    </row>
    <row r="5" spans="1:8" ht="15" customHeight="1" x14ac:dyDescent="0.25">
      <c r="A5" s="13"/>
      <c r="B5" s="6"/>
      <c r="C5" s="6"/>
      <c r="D5" s="6"/>
      <c r="E5" s="6"/>
      <c r="F5" s="6"/>
    </row>
    <row r="6" spans="1:8" ht="15" customHeight="1" x14ac:dyDescent="0.25"/>
    <row r="7" spans="1:8" ht="15" customHeight="1" x14ac:dyDescent="0.25">
      <c r="B7" s="6" t="s">
        <v>13</v>
      </c>
      <c r="C7" s="7" t="s">
        <v>12</v>
      </c>
      <c r="D7" s="7"/>
      <c r="E7" s="8" t="s">
        <v>66</v>
      </c>
      <c r="F7" s="15" t="s">
        <v>10</v>
      </c>
      <c r="G7" s="14" t="s">
        <v>18</v>
      </c>
      <c r="H7" s="15" t="s">
        <v>10</v>
      </c>
    </row>
    <row r="8" spans="1:8" x14ac:dyDescent="0.25">
      <c r="A8" s="9" t="s">
        <v>19</v>
      </c>
      <c r="C8" s="2"/>
      <c r="D8" s="2"/>
      <c r="E8" s="5"/>
      <c r="F8" s="2"/>
      <c r="G8" s="2"/>
      <c r="H8" s="2"/>
    </row>
    <row r="9" spans="1:8" x14ac:dyDescent="0.25">
      <c r="B9" s="3" t="s">
        <v>14</v>
      </c>
      <c r="C9" s="9" t="s">
        <v>15</v>
      </c>
      <c r="E9">
        <v>400</v>
      </c>
      <c r="F9" t="s">
        <v>2</v>
      </c>
    </row>
    <row r="10" spans="1:8" x14ac:dyDescent="0.25">
      <c r="B10" s="3" t="s">
        <v>16</v>
      </c>
      <c r="C10" s="9" t="s">
        <v>35</v>
      </c>
      <c r="E10">
        <v>24</v>
      </c>
      <c r="F10" t="s">
        <v>5</v>
      </c>
    </row>
    <row r="11" spans="1:8" x14ac:dyDescent="0.25">
      <c r="B11" s="3" t="s">
        <v>32</v>
      </c>
      <c r="C11" s="9" t="s">
        <v>34</v>
      </c>
      <c r="E11">
        <f>G11/1000</f>
        <v>1.5900000000000001E-2</v>
      </c>
      <c r="F11" t="s">
        <v>3</v>
      </c>
      <c r="G11">
        <v>15.9</v>
      </c>
      <c r="H11" t="s">
        <v>0</v>
      </c>
    </row>
    <row r="12" spans="1:8" x14ac:dyDescent="0.25">
      <c r="B12" s="3" t="s">
        <v>33</v>
      </c>
      <c r="C12" s="9" t="s">
        <v>4</v>
      </c>
      <c r="E12">
        <f>G12/1000000</f>
        <v>1.3300000000000001E-5</v>
      </c>
      <c r="F12" t="s">
        <v>37</v>
      </c>
      <c r="G12">
        <v>13.3</v>
      </c>
      <c r="H12" t="s">
        <v>1</v>
      </c>
    </row>
    <row r="13" spans="1:8" x14ac:dyDescent="0.25">
      <c r="B13" s="3" t="s">
        <v>31</v>
      </c>
      <c r="C13" s="9" t="s">
        <v>36</v>
      </c>
      <c r="E13">
        <v>240</v>
      </c>
      <c r="F13" t="s">
        <v>4</v>
      </c>
    </row>
    <row r="14" spans="1:8" x14ac:dyDescent="0.25">
      <c r="C14" s="9"/>
    </row>
    <row r="15" spans="1:8" x14ac:dyDescent="0.25">
      <c r="A15" s="9" t="s">
        <v>20</v>
      </c>
    </row>
    <row r="16" spans="1:8" x14ac:dyDescent="0.25">
      <c r="B16" s="3" t="s">
        <v>38</v>
      </c>
      <c r="C16" s="9" t="s">
        <v>21</v>
      </c>
      <c r="D16" s="10">
        <f>ABS(IMAGINARY(E34))</f>
        <v>39.961058553662198</v>
      </c>
      <c r="E16" s="16">
        <f>ROUND(D16,3-(1+INT(LOG10(ABS(D16)))))</f>
        <v>40</v>
      </c>
      <c r="F16" s="16" t="s">
        <v>5</v>
      </c>
    </row>
    <row r="17" spans="1:12" x14ac:dyDescent="0.25">
      <c r="B17" s="3" t="s">
        <v>39</v>
      </c>
      <c r="C17" s="9" t="s">
        <v>22</v>
      </c>
      <c r="D17" s="10">
        <f>ABS(IMAGINARY(E35))</f>
        <v>29.916342686446502</v>
      </c>
      <c r="E17" s="16">
        <f t="shared" ref="E17:E27" si="0">ROUND(D17,3-(1+INT(LOG10(ABS(D17)))))</f>
        <v>29.9</v>
      </c>
      <c r="F17" s="16" t="s">
        <v>5</v>
      </c>
    </row>
    <row r="18" spans="1:12" x14ac:dyDescent="0.25">
      <c r="B18" s="3" t="s">
        <v>40</v>
      </c>
      <c r="C18" s="9" t="s">
        <v>23</v>
      </c>
      <c r="D18" s="10">
        <f>E36</f>
        <v>10</v>
      </c>
      <c r="E18" s="16">
        <f t="shared" si="0"/>
        <v>10</v>
      </c>
      <c r="F18" s="16" t="s">
        <v>50</v>
      </c>
    </row>
    <row r="19" spans="1:12" x14ac:dyDescent="0.25">
      <c r="B19" s="3" t="s">
        <v>41</v>
      </c>
      <c r="C19" s="9" t="s">
        <v>24</v>
      </c>
      <c r="D19" s="10">
        <f>ABS(IMAGINARY(E37))</f>
        <v>6.0058469091281204</v>
      </c>
      <c r="E19" s="16">
        <f t="shared" si="0"/>
        <v>6.01</v>
      </c>
      <c r="F19" s="16" t="s">
        <v>50</v>
      </c>
      <c r="H19" s="10"/>
    </row>
    <row r="20" spans="1:12" x14ac:dyDescent="0.25">
      <c r="B20" s="3" t="s">
        <v>42</v>
      </c>
      <c r="C20" s="9" t="s">
        <v>25</v>
      </c>
      <c r="D20" s="10">
        <f>ABS(IMAGINARY(E38))</f>
        <v>8.0223710002068902</v>
      </c>
      <c r="E20" s="16">
        <f t="shared" si="0"/>
        <v>8.02</v>
      </c>
      <c r="F20" s="16" t="s">
        <v>50</v>
      </c>
    </row>
    <row r="21" spans="1:12" x14ac:dyDescent="0.25">
      <c r="B21" s="3" t="s">
        <v>43</v>
      </c>
      <c r="C21" s="9" t="s">
        <v>9</v>
      </c>
      <c r="D21" s="10">
        <f>IMREAL(E40)</f>
        <v>5760</v>
      </c>
      <c r="E21" s="16">
        <f t="shared" si="0"/>
        <v>5760</v>
      </c>
      <c r="F21" s="16" t="s">
        <v>56</v>
      </c>
    </row>
    <row r="22" spans="1:12" x14ac:dyDescent="0.25">
      <c r="B22" s="3" t="s">
        <v>44</v>
      </c>
      <c r="C22" s="9" t="s">
        <v>26</v>
      </c>
      <c r="D22" s="10">
        <f>ABS(IMAGINARY(E42))</f>
        <v>1441.40325819075</v>
      </c>
      <c r="E22" s="16">
        <f t="shared" si="0"/>
        <v>1440</v>
      </c>
      <c r="F22" s="16" t="s">
        <v>57</v>
      </c>
    </row>
    <row r="23" spans="1:12" ht="15" customHeight="1" x14ac:dyDescent="0.25">
      <c r="B23" s="3" t="s">
        <v>45</v>
      </c>
      <c r="C23" s="9" t="s">
        <v>27</v>
      </c>
      <c r="D23" s="10">
        <f>ABS(IMAGINARY(E43))</f>
        <v>1925.36904004965</v>
      </c>
      <c r="E23" s="16">
        <f t="shared" si="0"/>
        <v>1930</v>
      </c>
      <c r="F23" s="16" t="s">
        <v>57</v>
      </c>
      <c r="L23" s="3"/>
    </row>
    <row r="24" spans="1:12" x14ac:dyDescent="0.25">
      <c r="B24" s="3" t="s">
        <v>46</v>
      </c>
      <c r="C24" s="9" t="s">
        <v>28</v>
      </c>
      <c r="D24" s="10">
        <f>IMABS(E39)</f>
        <v>24.084567038041211</v>
      </c>
      <c r="E24" s="16">
        <f t="shared" si="0"/>
        <v>24.1</v>
      </c>
      <c r="F24" s="16" t="s">
        <v>50</v>
      </c>
    </row>
    <row r="25" spans="1:12" x14ac:dyDescent="0.25">
      <c r="B25" s="3" t="s">
        <v>47</v>
      </c>
      <c r="C25" s="9" t="s">
        <v>6</v>
      </c>
      <c r="D25" s="10">
        <f>IMABS(E40)</f>
        <v>5780.2960891298908</v>
      </c>
      <c r="E25" s="16">
        <f t="shared" si="0"/>
        <v>5780</v>
      </c>
      <c r="F25" s="16" t="s">
        <v>58</v>
      </c>
    </row>
    <row r="26" spans="1:12" x14ac:dyDescent="0.25">
      <c r="B26" s="3" t="s">
        <v>48</v>
      </c>
      <c r="C26" s="9" t="s">
        <v>8</v>
      </c>
      <c r="D26" s="10">
        <f>COS(E41*PI()/180)*100</f>
        <v>99.64887457637235</v>
      </c>
      <c r="E26" s="16">
        <f t="shared" si="0"/>
        <v>99.6</v>
      </c>
      <c r="F26" s="16" t="s">
        <v>59</v>
      </c>
    </row>
    <row r="27" spans="1:12" x14ac:dyDescent="0.25">
      <c r="B27" s="3" t="s">
        <v>49</v>
      </c>
      <c r="C27" s="9" t="s">
        <v>29</v>
      </c>
      <c r="D27" s="10">
        <f>ABS(E41)</f>
        <v>4.8028157564609648</v>
      </c>
      <c r="E27" s="16">
        <f t="shared" si="0"/>
        <v>4.8</v>
      </c>
      <c r="F27" s="16" t="s">
        <v>60</v>
      </c>
    </row>
    <row r="29" spans="1:12" x14ac:dyDescent="0.25">
      <c r="A29" s="9" t="s">
        <v>30</v>
      </c>
      <c r="B29"/>
      <c r="C29" s="3"/>
      <c r="D29" s="3"/>
    </row>
    <row r="30" spans="1:12" x14ac:dyDescent="0.25">
      <c r="B30" s="3" t="s">
        <v>55</v>
      </c>
      <c r="C30" t="s">
        <v>17</v>
      </c>
    </row>
    <row r="31" spans="1:12" x14ac:dyDescent="0.25">
      <c r="B31" s="3" t="s">
        <v>62</v>
      </c>
      <c r="C31" t="s">
        <v>61</v>
      </c>
    </row>
    <row r="32" spans="1:12" x14ac:dyDescent="0.25">
      <c r="B32" s="3" t="s">
        <v>65</v>
      </c>
      <c r="C32" t="s">
        <v>51</v>
      </c>
    </row>
    <row r="33" spans="1:7" x14ac:dyDescent="0.25">
      <c r="A33" t="s">
        <v>11</v>
      </c>
      <c r="B33"/>
      <c r="C33" s="3"/>
      <c r="D33" s="3"/>
    </row>
    <row r="34" spans="1:7" x14ac:dyDescent="0.25">
      <c r="C34" t="s">
        <v>63</v>
      </c>
      <c r="E34" s="4" t="str">
        <f>COMPLEX(0,2*PI()*E9*E11,"j")</f>
        <v>39.9610585536622j</v>
      </c>
      <c r="G34" s="11"/>
    </row>
    <row r="35" spans="1:7" ht="35.25" customHeight="1" x14ac:dyDescent="0.25">
      <c r="C35" t="s">
        <v>64</v>
      </c>
      <c r="E35" t="str">
        <f>COMPLEX(0,-1/(2*PI()*E9*E12),"j")</f>
        <v>-29.9163426864465j</v>
      </c>
    </row>
    <row r="36" spans="1:7" ht="33" customHeight="1" x14ac:dyDescent="0.25">
      <c r="C36" t="s">
        <v>23</v>
      </c>
      <c r="E36" s="1">
        <f>E13/E10</f>
        <v>10</v>
      </c>
    </row>
    <row r="37" spans="1:7" ht="25.5" customHeight="1" x14ac:dyDescent="0.25">
      <c r="C37" t="s">
        <v>52</v>
      </c>
      <c r="E37" t="str">
        <f>IMDIV(E13,E34)</f>
        <v>-6.00584690912812j</v>
      </c>
    </row>
    <row r="38" spans="1:7" ht="30.75" customHeight="1" x14ac:dyDescent="0.25">
      <c r="C38" t="s">
        <v>53</v>
      </c>
      <c r="E38" t="str">
        <f>IMDIV(E13,E35)</f>
        <v>8.02237100020689j</v>
      </c>
    </row>
    <row r="39" spans="1:7" x14ac:dyDescent="0.25">
      <c r="C39" t="s">
        <v>54</v>
      </c>
      <c r="E39" t="str">
        <f>IMSUM(E10,E37,E38)</f>
        <v>24+2.01652409107877j</v>
      </c>
    </row>
    <row r="40" spans="1:7" x14ac:dyDescent="0.25">
      <c r="C40" t="s">
        <v>51</v>
      </c>
      <c r="E40" t="str">
        <f>IMPRODUCT(IMCONJUGATE(E39),E13)</f>
        <v>5760-483.965781858905j</v>
      </c>
    </row>
    <row r="41" spans="1:7" x14ac:dyDescent="0.25">
      <c r="C41" t="s">
        <v>7</v>
      </c>
      <c r="E41" s="1">
        <f>DEGREES(ATAN(IMAGINARY(E40)/IMREAL(E40)))</f>
        <v>-4.8028157564609648</v>
      </c>
    </row>
    <row r="42" spans="1:7" ht="30" customHeight="1" x14ac:dyDescent="0.25">
      <c r="C42" t="s">
        <v>26</v>
      </c>
      <c r="E42" t="str">
        <f>IMDIV(E13^2,IMCONJUGATE(E34))</f>
        <v>1441.40325819075j</v>
      </c>
    </row>
    <row r="43" spans="1:7" ht="35.25" customHeight="1" x14ac:dyDescent="0.25">
      <c r="C43" t="s">
        <v>27</v>
      </c>
      <c r="E43" t="str">
        <f>IMDIV(E13^2,IMCONJUGATE(E35))</f>
        <v>-1925.36904004965j</v>
      </c>
    </row>
    <row r="44" spans="1:7" x14ac:dyDescent="0.25">
      <c r="B44"/>
    </row>
    <row r="50" spans="1:6" x14ac:dyDescent="0.25">
      <c r="B50" s="6" t="s">
        <v>13</v>
      </c>
      <c r="C50" s="7" t="s">
        <v>12</v>
      </c>
      <c r="D50" s="7"/>
      <c r="E50" s="8" t="s">
        <v>66</v>
      </c>
      <c r="F50" s="15" t="s">
        <v>10</v>
      </c>
    </row>
    <row r="51" spans="1:6" x14ac:dyDescent="0.25">
      <c r="A51" s="9" t="s">
        <v>19</v>
      </c>
      <c r="C51" s="2"/>
      <c r="D51" s="2"/>
      <c r="E51" s="5"/>
      <c r="F51" s="2"/>
    </row>
    <row r="52" spans="1:6" x14ac:dyDescent="0.25">
      <c r="B52" s="3" t="s">
        <v>16</v>
      </c>
      <c r="C52" s="9" t="s">
        <v>35</v>
      </c>
      <c r="E52">
        <v>16</v>
      </c>
      <c r="F52" t="s">
        <v>5</v>
      </c>
    </row>
    <row r="53" spans="1:6" x14ac:dyDescent="0.25">
      <c r="B53" s="3" t="s">
        <v>38</v>
      </c>
      <c r="C53" s="9" t="s">
        <v>21</v>
      </c>
      <c r="E53">
        <v>8</v>
      </c>
      <c r="F53" t="s">
        <v>5</v>
      </c>
    </row>
    <row r="54" spans="1:6" x14ac:dyDescent="0.25">
      <c r="B54" s="3" t="s">
        <v>39</v>
      </c>
      <c r="C54" s="9" t="s">
        <v>22</v>
      </c>
      <c r="E54">
        <v>20</v>
      </c>
      <c r="F54" t="s">
        <v>5</v>
      </c>
    </row>
    <row r="55" spans="1:6" x14ac:dyDescent="0.25">
      <c r="C55" s="9"/>
    </row>
    <row r="56" spans="1:6" x14ac:dyDescent="0.25">
      <c r="A56" s="9" t="s">
        <v>20</v>
      </c>
    </row>
    <row r="57" spans="1:6" x14ac:dyDescent="0.25">
      <c r="B57" s="3" t="s">
        <v>67</v>
      </c>
      <c r="C57" s="9" t="s">
        <v>68</v>
      </c>
      <c r="D57" s="10">
        <f>IMABS(E66)</f>
        <v>10.242950394631675</v>
      </c>
      <c r="E57" s="16">
        <f>ROUND(D57,3-(1+INT(LOG10(ABS(D57)))))</f>
        <v>10.199999999999999</v>
      </c>
      <c r="F57" s="16" t="s">
        <v>5</v>
      </c>
    </row>
    <row r="59" spans="1:6" x14ac:dyDescent="0.25">
      <c r="A59" s="9" t="s">
        <v>30</v>
      </c>
      <c r="B59"/>
      <c r="C59" s="3"/>
    </row>
    <row r="60" spans="1:6" x14ac:dyDescent="0.25">
      <c r="B60" s="3" t="s">
        <v>62</v>
      </c>
      <c r="C60" t="s">
        <v>61</v>
      </c>
    </row>
    <row r="62" spans="1:6" x14ac:dyDescent="0.25">
      <c r="A62" t="s">
        <v>11</v>
      </c>
      <c r="B62"/>
      <c r="C62" s="3"/>
      <c r="D62" s="3"/>
    </row>
    <row r="63" spans="1:6" x14ac:dyDescent="0.25">
      <c r="C63" t="s">
        <v>70</v>
      </c>
      <c r="E63" s="4" t="str">
        <f>COMPLEX(0,1/E53,"j")</f>
        <v>0.125j</v>
      </c>
    </row>
    <row r="64" spans="1:6" x14ac:dyDescent="0.25">
      <c r="C64" t="s">
        <v>71</v>
      </c>
      <c r="E64" s="4" t="str">
        <f>COMPLEX(0,-1/E54,"j")</f>
        <v>-0.05j</v>
      </c>
    </row>
    <row r="65" spans="1:6" x14ac:dyDescent="0.25">
      <c r="C65" t="s">
        <v>72</v>
      </c>
      <c r="E65" t="str">
        <f>IMSUM(1/E52,E63,E64)</f>
        <v>0.0625+0.075j</v>
      </c>
    </row>
    <row r="66" spans="1:6" x14ac:dyDescent="0.25">
      <c r="C66" t="s">
        <v>69</v>
      </c>
      <c r="E66" t="str">
        <f>IMDIV(1,E65)</f>
        <v>6.55737704918033-7.86885245901639j</v>
      </c>
    </row>
    <row r="71" spans="1:6" x14ac:dyDescent="0.25">
      <c r="B71" s="6" t="s">
        <v>13</v>
      </c>
      <c r="C71" s="7" t="s">
        <v>12</v>
      </c>
      <c r="D71" s="7"/>
      <c r="E71" s="8" t="s">
        <v>66</v>
      </c>
      <c r="F71" s="15" t="s">
        <v>10</v>
      </c>
    </row>
    <row r="72" spans="1:6" x14ac:dyDescent="0.25">
      <c r="A72" s="9" t="s">
        <v>19</v>
      </c>
      <c r="C72" s="2"/>
      <c r="D72" s="2"/>
      <c r="E72" s="5"/>
      <c r="F72" s="2"/>
    </row>
    <row r="73" spans="1:6" x14ac:dyDescent="0.25">
      <c r="B73" s="3" t="s">
        <v>40</v>
      </c>
      <c r="C73" s="9" t="s">
        <v>23</v>
      </c>
      <c r="E73">
        <v>38</v>
      </c>
      <c r="F73" t="s">
        <v>50</v>
      </c>
    </row>
    <row r="74" spans="1:6" x14ac:dyDescent="0.25">
      <c r="B74" s="3" t="s">
        <v>41</v>
      </c>
      <c r="C74" s="9" t="s">
        <v>24</v>
      </c>
      <c r="E74">
        <v>22</v>
      </c>
      <c r="F74" t="s">
        <v>50</v>
      </c>
    </row>
    <row r="75" spans="1:6" x14ac:dyDescent="0.25">
      <c r="B75" s="3" t="s">
        <v>42</v>
      </c>
      <c r="C75" s="9" t="s">
        <v>25</v>
      </c>
      <c r="E75">
        <v>7</v>
      </c>
      <c r="F75" t="s">
        <v>50</v>
      </c>
    </row>
    <row r="76" spans="1:6" x14ac:dyDescent="0.25">
      <c r="C76" s="9"/>
    </row>
    <row r="77" spans="1:6" x14ac:dyDescent="0.25">
      <c r="A77" s="9" t="s">
        <v>20</v>
      </c>
    </row>
    <row r="78" spans="1:6" x14ac:dyDescent="0.25">
      <c r="B78" s="3" t="s">
        <v>46</v>
      </c>
      <c r="C78" s="9" t="s">
        <v>28</v>
      </c>
      <c r="D78">
        <f>IMABS(IMSUM(E73,E84,E85))</f>
        <v>40.853396431630991</v>
      </c>
      <c r="E78" s="16">
        <f>ROUND(D78,3-(1+INT(LOG10(ABS(D78)))))</f>
        <v>40.9</v>
      </c>
      <c r="F78" s="16" t="s">
        <v>50</v>
      </c>
    </row>
    <row r="80" spans="1:6" x14ac:dyDescent="0.25">
      <c r="A80" s="9" t="s">
        <v>30</v>
      </c>
      <c r="B80"/>
      <c r="C80" s="3"/>
    </row>
    <row r="81" spans="1:5" x14ac:dyDescent="0.25">
      <c r="B81" s="3" t="s">
        <v>55</v>
      </c>
      <c r="C81" t="s">
        <v>17</v>
      </c>
    </row>
    <row r="83" spans="1:5" x14ac:dyDescent="0.25">
      <c r="A83" t="s">
        <v>11</v>
      </c>
      <c r="B83"/>
      <c r="C83" s="3"/>
      <c r="D83" s="3"/>
    </row>
    <row r="84" spans="1:5" x14ac:dyDescent="0.25">
      <c r="C84" t="s">
        <v>52</v>
      </c>
      <c r="E84" t="str">
        <f>COMPLEX(0,-E74,"j")</f>
        <v>-22j</v>
      </c>
    </row>
    <row r="85" spans="1:5" x14ac:dyDescent="0.25">
      <c r="C85" t="s">
        <v>53</v>
      </c>
      <c r="E85" t="str">
        <f>COMPLEX(0,E75,"j")</f>
        <v>7j</v>
      </c>
    </row>
    <row r="99" spans="1:6" x14ac:dyDescent="0.25">
      <c r="B99" s="6" t="s">
        <v>13</v>
      </c>
      <c r="C99" s="7" t="s">
        <v>12</v>
      </c>
      <c r="D99" s="7"/>
      <c r="E99" s="8" t="s">
        <v>66</v>
      </c>
      <c r="F99" s="15" t="s">
        <v>10</v>
      </c>
    </row>
    <row r="100" spans="1:6" x14ac:dyDescent="0.25">
      <c r="A100" s="9" t="s">
        <v>19</v>
      </c>
      <c r="C100" s="2"/>
      <c r="D100" s="2"/>
      <c r="E100" s="5"/>
      <c r="F100" s="2"/>
    </row>
    <row r="101" spans="1:6" x14ac:dyDescent="0.25">
      <c r="B101" s="3" t="s">
        <v>16</v>
      </c>
      <c r="C101" s="9" t="s">
        <v>35</v>
      </c>
      <c r="E101">
        <v>60</v>
      </c>
      <c r="F101" t="s">
        <v>5</v>
      </c>
    </row>
    <row r="102" spans="1:6" x14ac:dyDescent="0.25">
      <c r="B102" s="3" t="s">
        <v>38</v>
      </c>
      <c r="C102" s="9" t="s">
        <v>21</v>
      </c>
      <c r="E102">
        <v>180</v>
      </c>
      <c r="F102" t="s">
        <v>5</v>
      </c>
    </row>
    <row r="103" spans="1:6" x14ac:dyDescent="0.25">
      <c r="B103" s="3" t="s">
        <v>39</v>
      </c>
      <c r="C103" s="9" t="s">
        <v>22</v>
      </c>
      <c r="E103">
        <v>20</v>
      </c>
      <c r="F103" t="s">
        <v>5</v>
      </c>
    </row>
    <row r="104" spans="1:6" x14ac:dyDescent="0.25">
      <c r="C104" s="9"/>
    </row>
    <row r="105" spans="1:6" x14ac:dyDescent="0.25">
      <c r="A105" s="9" t="s">
        <v>20</v>
      </c>
    </row>
    <row r="106" spans="1:6" x14ac:dyDescent="0.25">
      <c r="A106" s="9"/>
      <c r="B106" s="3" t="s">
        <v>74</v>
      </c>
      <c r="C106" s="9" t="s">
        <v>8</v>
      </c>
      <c r="D106" s="10">
        <f>COS(G121*PI()/180)*100</f>
        <v>35.112344158839214</v>
      </c>
      <c r="E106" s="16">
        <f t="shared" ref="E106" si="1">ROUND(D106,3-(1+INT(LOG10(ABS(D106)))))</f>
        <v>35.1</v>
      </c>
      <c r="F106" s="16" t="s">
        <v>59</v>
      </c>
    </row>
    <row r="108" spans="1:6" x14ac:dyDescent="0.25">
      <c r="A108" s="9" t="s">
        <v>30</v>
      </c>
      <c r="B108"/>
      <c r="C108" s="3"/>
    </row>
    <row r="109" spans="1:6" x14ac:dyDescent="0.25">
      <c r="B109" s="3" t="s">
        <v>62</v>
      </c>
      <c r="C109" t="s">
        <v>61</v>
      </c>
    </row>
    <row r="111" spans="1:6" x14ac:dyDescent="0.25">
      <c r="A111" t="s">
        <v>11</v>
      </c>
      <c r="B111"/>
      <c r="C111" s="3"/>
      <c r="D111" s="3"/>
    </row>
    <row r="112" spans="1:6" x14ac:dyDescent="0.25">
      <c r="C112" t="s">
        <v>70</v>
      </c>
      <c r="E112" s="4" t="str">
        <f>COMPLEX(0,1/E102,"j")</f>
        <v>0.00555555555555556j</v>
      </c>
    </row>
    <row r="113" spans="2:9" x14ac:dyDescent="0.25">
      <c r="C113" t="s">
        <v>71</v>
      </c>
      <c r="E113" s="4" t="str">
        <f>COMPLEX(0,-1/E103,"j")</f>
        <v>-0.05j</v>
      </c>
    </row>
    <row r="114" spans="2:9" x14ac:dyDescent="0.25">
      <c r="C114" t="s">
        <v>72</v>
      </c>
      <c r="E114" t="str">
        <f>IMSUM(1/E101,E112,E113)</f>
        <v>0.0166666666666667-0.0444444444444444j</v>
      </c>
    </row>
    <row r="115" spans="2:9" x14ac:dyDescent="0.25">
      <c r="C115" t="s">
        <v>69</v>
      </c>
      <c r="E115" t="str">
        <f>IMDIV(1,E114)</f>
        <v>7.39726027397263+19.7260273972603j</v>
      </c>
    </row>
    <row r="116" spans="2:9" x14ac:dyDescent="0.25">
      <c r="B116" t="s">
        <v>75</v>
      </c>
    </row>
    <row r="117" spans="2:9" x14ac:dyDescent="0.25">
      <c r="B117"/>
    </row>
    <row r="118" spans="2:9" x14ac:dyDescent="0.25">
      <c r="B118"/>
    </row>
    <row r="119" spans="2:9" x14ac:dyDescent="0.25">
      <c r="B119"/>
    </row>
    <row r="120" spans="2:9" x14ac:dyDescent="0.25">
      <c r="B120"/>
    </row>
    <row r="121" spans="2:9" x14ac:dyDescent="0.25">
      <c r="B121"/>
      <c r="C121" t="s">
        <v>76</v>
      </c>
      <c r="E121">
        <f>ROUND(D125,3-(1+INT(LOG10(ABS(D125)))))</f>
        <v>21.1</v>
      </c>
      <c r="F121" t="s">
        <v>5</v>
      </c>
      <c r="G121" s="1">
        <f>DEGREES(ATAN(IMAGINARY(E115)/IMREAL(E115)))</f>
        <v>69.443954780416504</v>
      </c>
      <c r="H121" t="s">
        <v>60</v>
      </c>
    </row>
    <row r="122" spans="2:9" x14ac:dyDescent="0.25">
      <c r="B122"/>
      <c r="G122" s="2" t="s">
        <v>77</v>
      </c>
    </row>
    <row r="123" spans="2:9" x14ac:dyDescent="0.25">
      <c r="B123"/>
      <c r="G123">
        <f>IMARGUMENT(E115)</f>
        <v>1.2120256565243237</v>
      </c>
      <c r="H123" t="s">
        <v>78</v>
      </c>
    </row>
    <row r="124" spans="2:9" x14ac:dyDescent="0.25">
      <c r="B124"/>
      <c r="G124">
        <f>DEGREES(G123)</f>
        <v>69.443954780416504</v>
      </c>
      <c r="H124" t="s">
        <v>60</v>
      </c>
      <c r="I124" s="10"/>
    </row>
    <row r="125" spans="2:9" x14ac:dyDescent="0.25">
      <c r="C125" s="9"/>
      <c r="D125" s="10">
        <f>IMABS(E115)</f>
        <v>21.067406495303537</v>
      </c>
    </row>
    <row r="149" spans="1:6" x14ac:dyDescent="0.25">
      <c r="B149" s="6" t="s">
        <v>13</v>
      </c>
      <c r="C149" s="7" t="s">
        <v>12</v>
      </c>
      <c r="D149" s="7"/>
      <c r="E149" s="8" t="s">
        <v>66</v>
      </c>
      <c r="F149" s="15" t="s">
        <v>10</v>
      </c>
    </row>
    <row r="150" spans="1:6" x14ac:dyDescent="0.25">
      <c r="A150" s="9" t="s">
        <v>19</v>
      </c>
      <c r="C150" s="2"/>
      <c r="D150" s="2"/>
      <c r="E150" s="5"/>
      <c r="F150" s="2"/>
    </row>
    <row r="151" spans="1:6" x14ac:dyDescent="0.25">
      <c r="B151" s="3" t="s">
        <v>79</v>
      </c>
      <c r="C151" s="9" t="s">
        <v>36</v>
      </c>
      <c r="E151">
        <v>240</v>
      </c>
      <c r="F151" t="s">
        <v>4</v>
      </c>
    </row>
    <row r="152" spans="1:6" x14ac:dyDescent="0.25">
      <c r="B152" s="3" t="s">
        <v>43</v>
      </c>
      <c r="C152" s="9" t="s">
        <v>9</v>
      </c>
      <c r="E152">
        <v>600</v>
      </c>
      <c r="F152" t="s">
        <v>56</v>
      </c>
    </row>
    <row r="153" spans="1:6" x14ac:dyDescent="0.25">
      <c r="B153" s="3" t="s">
        <v>48</v>
      </c>
      <c r="C153" s="9" t="s">
        <v>8</v>
      </c>
      <c r="E153" s="17">
        <v>0.75</v>
      </c>
      <c r="F153" t="s">
        <v>5</v>
      </c>
    </row>
    <row r="154" spans="1:6" x14ac:dyDescent="0.25">
      <c r="C154" s="9"/>
    </row>
    <row r="155" spans="1:6" x14ac:dyDescent="0.25">
      <c r="A155" s="9" t="s">
        <v>20</v>
      </c>
    </row>
    <row r="156" spans="1:6" x14ac:dyDescent="0.25">
      <c r="A156" s="9"/>
      <c r="B156" s="3" t="s">
        <v>80</v>
      </c>
      <c r="C156" s="9" t="s">
        <v>28</v>
      </c>
      <c r="D156" s="18">
        <f>E158/E151</f>
        <v>3.3333333333333335</v>
      </c>
      <c r="E156" s="16">
        <f>ROUND(D156,3-(1+INT(LOG10(ABS(D156)))))</f>
        <v>3.33</v>
      </c>
      <c r="F156" s="16" t="s">
        <v>50</v>
      </c>
    </row>
    <row r="158" spans="1:6" x14ac:dyDescent="0.25">
      <c r="B158" s="3" t="s">
        <v>81</v>
      </c>
      <c r="C158" s="9" t="s">
        <v>6</v>
      </c>
      <c r="E158">
        <f>E152/E153</f>
        <v>800</v>
      </c>
    </row>
  </sheetData>
  <printOptions horizontalCentered="1" verticalCentered="1"/>
  <pageMargins left="0.23622047244094499" right="0.23622047244094499" top="0.35433070866141703" bottom="0.35433070866141703" header="0.118110236220472" footer="0.118110236220472"/>
  <pageSetup orientation="portrait" r:id="rId1"/>
  <headerFooter>
    <oddHeader>&amp;LTimothy Crowtz&amp;CELEC1000 Resistive-Inductive-Capacitive-Parallel Circuits (Unit 25)&amp;RDec. 5th, 2020</oddHead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Sheet1!_Hlk57307723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Crowtz</dc:creator>
  <cp:lastModifiedBy>Timothy Crowtz</cp:lastModifiedBy>
  <cp:lastPrinted>2020-12-06T01:15:38Z</cp:lastPrinted>
  <dcterms:created xsi:type="dcterms:W3CDTF">2020-12-05T20:02:33Z</dcterms:created>
  <dcterms:modified xsi:type="dcterms:W3CDTF">2020-12-10T21:08:27Z</dcterms:modified>
</cp:coreProperties>
</file>