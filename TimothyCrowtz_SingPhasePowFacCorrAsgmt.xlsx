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T:\SimplifyLife-myfiles2\2020_HollandCollage\ELEC-1000\ELEC1000-submissions\r-powerfactor-correction\"/>
    </mc:Choice>
  </mc:AlternateContent>
  <xr:revisionPtr revIDLastSave="0" documentId="13_ncr:1_{2E976E7C-2695-4416-92A5-F52D13A36145}" xr6:coauthVersionLast="45" xr6:coauthVersionMax="45" xr10:uidLastSave="{00000000-0000-0000-0000-000000000000}"/>
  <bookViews>
    <workbookView xWindow="-120" yWindow="-120" windowWidth="21840" windowHeight="13140" xr2:uid="{77605BB7-84E1-47F7-9B15-124C9D5FBDDE}"/>
  </bookViews>
  <sheets>
    <sheet name="Sheet1" sheetId="1" r:id="rId1"/>
  </sheets>
  <definedNames>
    <definedName name="_Hlk57307723" localSheetId="0">Sheet1!$L$14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30" i="1"/>
  <c r="F21" i="1"/>
  <c r="F22" i="1"/>
  <c r="F23" i="1"/>
  <c r="F24" i="1"/>
  <c r="F20" i="1"/>
  <c r="E20" i="1"/>
  <c r="E21" i="1" s="1"/>
  <c r="E23" i="1" s="1"/>
  <c r="E24" i="1" l="1"/>
  <c r="E22" i="1"/>
  <c r="E25" i="1" l="1"/>
  <c r="E27" i="1" s="1"/>
  <c r="E26" i="1"/>
  <c r="E28" i="1" s="1"/>
  <c r="E29" i="1" s="1"/>
  <c r="E30" i="1" s="1"/>
  <c r="E31" i="1" l="1"/>
</calcChain>
</file>

<file path=xl/sharedStrings.xml><?xml version="1.0" encoding="utf-8"?>
<sst xmlns="http://schemas.openxmlformats.org/spreadsheetml/2006/main" count="60" uniqueCount="54">
  <si>
    <t xml:space="preserve">µF </t>
  </si>
  <si>
    <t>Hz</t>
  </si>
  <si>
    <t>V</t>
  </si>
  <si>
    <t>P</t>
  </si>
  <si>
    <t>unit</t>
  </si>
  <si>
    <t>Name</t>
  </si>
  <si>
    <t>frequency</t>
  </si>
  <si>
    <t>f</t>
  </si>
  <si>
    <t>Given parameters:</t>
  </si>
  <si>
    <t>capacitance</t>
  </si>
  <si>
    <t>E</t>
  </si>
  <si>
    <t>A</t>
  </si>
  <si>
    <t>W</t>
  </si>
  <si>
    <t>var</t>
  </si>
  <si>
    <t>va</t>
  </si>
  <si>
    <t>%</t>
  </si>
  <si>
    <t>ℤᴄ</t>
  </si>
  <si>
    <t>One-Phase Power Factor Correction Assignment</t>
  </si>
  <si>
    <t>Trig Symbol</t>
  </si>
  <si>
    <t>Complex Symbol</t>
  </si>
  <si>
    <t>desired power factor</t>
  </si>
  <si>
    <t>voltage of pwr supply</t>
  </si>
  <si>
    <t>impedance of capacitor</t>
  </si>
  <si>
    <t>PF₂</t>
  </si>
  <si>
    <t>I₁</t>
  </si>
  <si>
    <t xml:space="preserve">current through pwr supply, motor only </t>
  </si>
  <si>
    <t>pwr factor, motor only</t>
  </si>
  <si>
    <t>VA₁</t>
  </si>
  <si>
    <t>PF₁</t>
  </si>
  <si>
    <t>total circuit true pwr</t>
  </si>
  <si>
    <t>total circuit appearent pwr, motor only</t>
  </si>
  <si>
    <t>total circuit reactive pwr, motor only</t>
  </si>
  <si>
    <t>total circuit appearent pwr with capacitor</t>
  </si>
  <si>
    <t>total circuit reactive pwr with capacitor</t>
  </si>
  <si>
    <t>total circuit complex power, motor only</t>
  </si>
  <si>
    <t>total circuit complex power with capacitor</t>
  </si>
  <si>
    <t>ℤ₁</t>
  </si>
  <si>
    <t>VARs₁</t>
  </si>
  <si>
    <t>VA₂</t>
  </si>
  <si>
    <t>VARs₂</t>
  </si>
  <si>
    <t>𝕊₁</t>
  </si>
  <si>
    <t>𝕊₂</t>
  </si>
  <si>
    <t>total circuit impedance with capacitor</t>
  </si>
  <si>
    <t>total circuit impedance, motor only</t>
  </si>
  <si>
    <t>ℤ₂</t>
  </si>
  <si>
    <r>
      <t xml:space="preserve">Parameters to find </t>
    </r>
    <r>
      <rPr>
        <sz val="11"/>
        <color theme="1"/>
        <rFont val="Calibri"/>
        <family val="2"/>
        <scheme val="minor"/>
      </rPr>
      <t>|</t>
    </r>
    <r>
      <rPr>
        <i/>
        <sz val="11"/>
        <color theme="1"/>
        <rFont val="Calibri"/>
        <family val="2"/>
        <scheme val="minor"/>
      </rPr>
      <t xml:space="preserve"> steps  </t>
    </r>
  </si>
  <si>
    <t>C</t>
  </si>
  <si>
    <t>F</t>
  </si>
  <si>
    <t>given value| answer</t>
  </si>
  <si>
    <t>calc.</t>
  </si>
  <si>
    <t>capacitance in micro Farads</t>
  </si>
  <si>
    <t xml:space="preserve">Note: total circuit true power does not change after installation of capacitor </t>
  </si>
  <si>
    <t>W+𝕛var</t>
  </si>
  <si>
    <t>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</si>
</sst>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0" fillId="0" borderId="1" xfId="0" applyBorder="1"/>
    <xf numFmtId="9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 wrapText="1"/>
    </xf>
    <xf numFmtId="0" fontId="0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16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1</xdr:row>
      <xdr:rowOff>56029</xdr:rowOff>
    </xdr:from>
    <xdr:to>
      <xdr:col>8</xdr:col>
      <xdr:colOff>526676</xdr:colOff>
      <xdr:row>7</xdr:row>
      <xdr:rowOff>85725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AA8FE6-8ACF-49DE-99D8-CC25DE422492}"/>
            </a:ext>
          </a:extLst>
        </xdr:cNvPr>
        <xdr:cNvSpPr txBox="1"/>
      </xdr:nvSpPr>
      <xdr:spPr>
        <a:xfrm>
          <a:off x="66674" y="246529"/>
          <a:ext cx="6824943" cy="11726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/>
            <a:t>Complete the following assignment to determine the size of a Power Factor Bank required for your given specifications  Show all of your work on an attached sheet. Please be neat and organized. If you make a mistake in your calculations and I cannot decipher your work, I cannot give you partial marks. Enter your final calculations into the provided table.</a:t>
          </a:r>
        </a:p>
        <a:p>
          <a:r>
            <a:rPr lang="en-CA" sz="1100" b="1"/>
            <a:t>In all cases the PFC System is to be designed to supply 95% of the Correction required when the system is in use. The average Power measured over a 2-month period is indicated below.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EC090-A5A9-4232-9DDB-B1C98E542E02}">
  <dimension ref="A1:L33"/>
  <sheetViews>
    <sheetView tabSelected="1" view="pageLayout" zoomScale="85" zoomScaleNormal="85" zoomScalePageLayoutView="85" workbookViewId="0">
      <selection activeCell="I9" sqref="I9"/>
    </sheetView>
  </sheetViews>
  <sheetFormatPr defaultRowHeight="15" x14ac:dyDescent="0.25"/>
  <cols>
    <col min="1" max="1" width="2.7109375" customWidth="1"/>
    <col min="2" max="2" width="29" style="2" customWidth="1"/>
    <col min="3" max="3" width="7.7109375" customWidth="1"/>
    <col min="4" max="4" width="8.5703125" customWidth="1"/>
    <col min="5" max="5" width="4.5703125" customWidth="1"/>
    <col min="6" max="6" width="14.42578125" customWidth="1"/>
    <col min="7" max="7" width="11.140625" customWidth="1"/>
    <col min="8" max="8" width="10.85546875" customWidth="1"/>
    <col min="10" max="10" width="16.85546875" customWidth="1"/>
    <col min="11" max="11" width="2.85546875" customWidth="1"/>
    <col min="12" max="12" width="15.28515625" customWidth="1"/>
    <col min="13" max="13" width="9.140625" customWidth="1"/>
  </cols>
  <sheetData>
    <row r="1" spans="1:12" x14ac:dyDescent="0.25">
      <c r="A1" s="9" t="s">
        <v>17</v>
      </c>
    </row>
    <row r="2" spans="1:12" ht="15" customHeight="1" x14ac:dyDescent="0.25">
      <c r="A2" s="10"/>
      <c r="B2" s="4"/>
      <c r="C2" s="4"/>
      <c r="D2" s="4"/>
      <c r="E2" s="4"/>
      <c r="F2" s="4"/>
      <c r="G2" s="4"/>
    </row>
    <row r="3" spans="1:12" ht="15" customHeight="1" x14ac:dyDescent="0.25">
      <c r="A3" s="10"/>
      <c r="B3" s="4"/>
      <c r="C3" s="4"/>
      <c r="D3" s="4"/>
      <c r="E3" s="4"/>
      <c r="F3" s="4"/>
      <c r="G3" s="4"/>
    </row>
    <row r="4" spans="1:12" ht="15" customHeight="1" x14ac:dyDescent="0.25">
      <c r="A4" s="10"/>
      <c r="B4" s="4"/>
      <c r="C4" s="4"/>
      <c r="D4" s="4"/>
      <c r="E4" s="4"/>
      <c r="F4" s="4"/>
      <c r="G4" s="4"/>
    </row>
    <row r="5" spans="1:12" ht="15" customHeight="1" x14ac:dyDescent="0.25">
      <c r="A5" s="10"/>
      <c r="B5" s="4"/>
      <c r="C5" s="4"/>
      <c r="D5" s="4"/>
      <c r="E5" s="4"/>
      <c r="F5" s="4"/>
      <c r="G5" s="4"/>
    </row>
    <row r="6" spans="1:12" ht="15" customHeight="1" x14ac:dyDescent="0.25"/>
    <row r="7" spans="1:12" ht="15" customHeight="1" x14ac:dyDescent="0.25"/>
    <row r="9" spans="1:12" ht="34.5" customHeight="1" x14ac:dyDescent="0.25">
      <c r="B9" s="4" t="s">
        <v>5</v>
      </c>
      <c r="C9" s="6" t="s">
        <v>18</v>
      </c>
      <c r="D9" s="6" t="s">
        <v>19</v>
      </c>
      <c r="E9" s="5" t="s">
        <v>49</v>
      </c>
      <c r="F9" s="6" t="s">
        <v>48</v>
      </c>
      <c r="G9" s="12" t="s">
        <v>4</v>
      </c>
      <c r="H9" s="11"/>
      <c r="I9" s="12"/>
    </row>
    <row r="10" spans="1:12" x14ac:dyDescent="0.25">
      <c r="A10" s="7" t="s">
        <v>8</v>
      </c>
      <c r="C10" s="1"/>
      <c r="D10" s="1"/>
      <c r="E10" s="1"/>
      <c r="F10" s="3"/>
      <c r="G10" s="1"/>
      <c r="H10" s="1"/>
      <c r="I10" s="1"/>
      <c r="L10" s="7"/>
    </row>
    <row r="11" spans="1:12" x14ac:dyDescent="0.25">
      <c r="B11" s="15" t="s">
        <v>20</v>
      </c>
      <c r="C11" s="16" t="s">
        <v>23</v>
      </c>
      <c r="D11" s="16"/>
      <c r="E11" s="17"/>
      <c r="F11" s="18">
        <v>0.95</v>
      </c>
      <c r="G11" s="17" t="s">
        <v>15</v>
      </c>
      <c r="L11" s="7"/>
    </row>
    <row r="12" spans="1:12" x14ac:dyDescent="0.25">
      <c r="B12" s="15" t="s">
        <v>21</v>
      </c>
      <c r="C12" s="16" t="s">
        <v>10</v>
      </c>
      <c r="D12" s="16"/>
      <c r="E12" s="17"/>
      <c r="F12" s="17">
        <v>208</v>
      </c>
      <c r="G12" s="17" t="s">
        <v>2</v>
      </c>
      <c r="L12" s="7"/>
    </row>
    <row r="13" spans="1:12" ht="30" x14ac:dyDescent="0.25">
      <c r="B13" s="15" t="s">
        <v>25</v>
      </c>
      <c r="C13" s="16" t="s">
        <v>24</v>
      </c>
      <c r="D13" s="16"/>
      <c r="E13" s="17"/>
      <c r="F13" s="17">
        <v>825</v>
      </c>
      <c r="G13" s="17" t="s">
        <v>11</v>
      </c>
      <c r="L13" s="7"/>
    </row>
    <row r="14" spans="1:12" x14ac:dyDescent="0.25">
      <c r="B14" s="15" t="s">
        <v>29</v>
      </c>
      <c r="C14" s="16" t="s">
        <v>3</v>
      </c>
      <c r="D14" s="16"/>
      <c r="E14" s="17"/>
      <c r="F14" s="17">
        <v>128700</v>
      </c>
      <c r="G14" s="17" t="s">
        <v>12</v>
      </c>
      <c r="L14" s="7"/>
    </row>
    <row r="15" spans="1:12" x14ac:dyDescent="0.25">
      <c r="B15" s="15" t="s">
        <v>6</v>
      </c>
      <c r="C15" s="16" t="s">
        <v>7</v>
      </c>
      <c r="D15" s="16"/>
      <c r="E15" s="17"/>
      <c r="F15" s="17">
        <v>60</v>
      </c>
      <c r="G15" s="17" t="s">
        <v>1</v>
      </c>
      <c r="L15" s="7"/>
    </row>
    <row r="16" spans="1:12" x14ac:dyDescent="0.25">
      <c r="B16" s="15"/>
      <c r="C16" s="17"/>
      <c r="D16" s="16"/>
      <c r="E16" s="17"/>
      <c r="F16" s="17"/>
      <c r="G16" s="17"/>
    </row>
    <row r="17" spans="1:12" x14ac:dyDescent="0.25">
      <c r="A17" s="7" t="s">
        <v>51</v>
      </c>
      <c r="L17" s="7"/>
    </row>
    <row r="18" spans="1:12" x14ac:dyDescent="0.25">
      <c r="D18" s="7"/>
    </row>
    <row r="19" spans="1:12" x14ac:dyDescent="0.25">
      <c r="A19" s="7" t="s">
        <v>45</v>
      </c>
      <c r="L19" s="7"/>
    </row>
    <row r="20" spans="1:12" ht="30" x14ac:dyDescent="0.25">
      <c r="B20" s="15" t="s">
        <v>30</v>
      </c>
      <c r="C20" s="16" t="s">
        <v>27</v>
      </c>
      <c r="D20" s="17"/>
      <c r="E20" s="16">
        <f>F13*F12</f>
        <v>171600</v>
      </c>
      <c r="F20" s="17">
        <f>ROUND(E20,4-(1+INT(LOG10(ABS(E20)))))</f>
        <v>171600</v>
      </c>
      <c r="G20" s="17" t="s">
        <v>14</v>
      </c>
      <c r="L20" s="7"/>
    </row>
    <row r="21" spans="1:12" x14ac:dyDescent="0.25">
      <c r="B21" s="15" t="s">
        <v>26</v>
      </c>
      <c r="C21" s="16" t="s">
        <v>28</v>
      </c>
      <c r="D21" s="17"/>
      <c r="E21" s="25">
        <f>F14/E20</f>
        <v>0.75</v>
      </c>
      <c r="F21" s="17">
        <f t="shared" ref="F21:F24" si="0">ROUND(E21,4-(1+INT(LOG10(ABS(E21)))))</f>
        <v>0.75</v>
      </c>
      <c r="G21" s="17" t="s">
        <v>15</v>
      </c>
      <c r="L21" s="7"/>
    </row>
    <row r="22" spans="1:12" ht="30" x14ac:dyDescent="0.25">
      <c r="B22" s="15" t="s">
        <v>31</v>
      </c>
      <c r="C22" s="16" t="s">
        <v>37</v>
      </c>
      <c r="D22" s="16"/>
      <c r="E22" s="19">
        <f>SQRT(E20^2-F14^2)</f>
        <v>113502.73124467094</v>
      </c>
      <c r="F22" s="17">
        <f t="shared" si="0"/>
        <v>113500</v>
      </c>
      <c r="G22" s="17" t="s">
        <v>13</v>
      </c>
      <c r="L22" s="7"/>
    </row>
    <row r="23" spans="1:12" ht="31.5" customHeight="1" x14ac:dyDescent="0.25">
      <c r="B23" s="15" t="s">
        <v>32</v>
      </c>
      <c r="C23" s="16" t="s">
        <v>38</v>
      </c>
      <c r="D23" s="16"/>
      <c r="E23" s="19">
        <f>E21*E20/F11</f>
        <v>135473.68421052632</v>
      </c>
      <c r="F23" s="17">
        <f t="shared" si="0"/>
        <v>135500</v>
      </c>
      <c r="G23" s="17" t="s">
        <v>14</v>
      </c>
      <c r="I23" s="8"/>
      <c r="L23" s="7"/>
    </row>
    <row r="24" spans="1:12" ht="30" x14ac:dyDescent="0.25">
      <c r="B24" s="15" t="s">
        <v>33</v>
      </c>
      <c r="C24" s="16" t="s">
        <v>39</v>
      </c>
      <c r="D24" s="16"/>
      <c r="E24" s="19">
        <f>SQRT(E23^2-F14^2)</f>
        <v>42301.644336519712</v>
      </c>
      <c r="F24" s="17">
        <f t="shared" si="0"/>
        <v>42300</v>
      </c>
      <c r="G24" s="17" t="s">
        <v>13</v>
      </c>
      <c r="L24" s="7"/>
    </row>
    <row r="25" spans="1:12" ht="28.5" customHeight="1" x14ac:dyDescent="0.25">
      <c r="B25" s="15" t="s">
        <v>34</v>
      </c>
      <c r="C25" s="17"/>
      <c r="D25" s="17" t="s">
        <v>40</v>
      </c>
      <c r="E25" s="20" t="str">
        <f>COMPLEX(F14,E22,"j")</f>
        <v>128700+113502.731244671j</v>
      </c>
      <c r="F25" s="20"/>
      <c r="G25" s="17" t="s">
        <v>52</v>
      </c>
      <c r="L25" s="7"/>
    </row>
    <row r="26" spans="1:12" ht="32.25" customHeight="1" x14ac:dyDescent="0.25">
      <c r="B26" s="15" t="s">
        <v>35</v>
      </c>
      <c r="C26" s="17"/>
      <c r="D26" s="17" t="s">
        <v>41</v>
      </c>
      <c r="E26" s="20" t="str">
        <f>COMPLEX(F14,E24,"j")</f>
        <v>128700+42301.6443365197j</v>
      </c>
      <c r="F26" s="20"/>
      <c r="G26" s="17" t="s">
        <v>52</v>
      </c>
      <c r="J26" s="14"/>
      <c r="L26" s="7"/>
    </row>
    <row r="27" spans="1:12" ht="30.75" customHeight="1" x14ac:dyDescent="0.25">
      <c r="B27" s="15" t="s">
        <v>43</v>
      </c>
      <c r="C27" s="17"/>
      <c r="D27" s="21" t="s">
        <v>36</v>
      </c>
      <c r="E27" s="20" t="str">
        <f>IMCONJUGATE(IMDIV(F12^2,E25))</f>
        <v>0.189090909090909+0.166762506879223j</v>
      </c>
      <c r="F27" s="20"/>
      <c r="G27" s="17" t="s">
        <v>53</v>
      </c>
      <c r="L27" s="7"/>
    </row>
    <row r="28" spans="1:12" ht="33.75" customHeight="1" x14ac:dyDescent="0.25">
      <c r="B28" s="15" t="s">
        <v>42</v>
      </c>
      <c r="C28" s="17"/>
      <c r="D28" s="21" t="s">
        <v>44</v>
      </c>
      <c r="E28" s="22" t="str">
        <f>IMCONJUGATE(IMDIV(F12^2,E26))</f>
        <v>0.303385858585859+0.0997181094532141j</v>
      </c>
      <c r="F28" s="22"/>
      <c r="G28" s="17" t="s">
        <v>53</v>
      </c>
      <c r="L28" s="7"/>
    </row>
    <row r="29" spans="1:12" ht="21.75" customHeight="1" x14ac:dyDescent="0.25">
      <c r="B29" s="15" t="s">
        <v>22</v>
      </c>
      <c r="C29" s="17"/>
      <c r="D29" s="21" t="s">
        <v>16</v>
      </c>
      <c r="E29" s="23" t="str">
        <f>IMDIV(1,IMSUB(IMDIV(1,E28),IMDIV(1,E27)))</f>
        <v>-0.607631173605678j</v>
      </c>
      <c r="F29" s="23"/>
      <c r="G29" s="17" t="s">
        <v>53</v>
      </c>
      <c r="L29" s="7"/>
    </row>
    <row r="30" spans="1:12" x14ac:dyDescent="0.25">
      <c r="B30" s="15" t="s">
        <v>9</v>
      </c>
      <c r="C30" s="16" t="s">
        <v>46</v>
      </c>
      <c r="D30" s="16"/>
      <c r="E30" s="24">
        <f>1/(IMPRODUCT(E29,COMPLEX(0,1,"j"))*2*PI()*F15)</f>
        <v>4.3654481535641467E-3</v>
      </c>
      <c r="F30" s="17">
        <f>ROUND(E30,4-(1+INT(LOG10(ABS(E30)))))</f>
        <v>4.365E-3</v>
      </c>
      <c r="G30" s="17" t="s">
        <v>47</v>
      </c>
      <c r="L30" s="7"/>
    </row>
    <row r="31" spans="1:12" x14ac:dyDescent="0.25">
      <c r="B31" s="15" t="s">
        <v>50</v>
      </c>
      <c r="C31" s="21"/>
      <c r="D31" s="16"/>
      <c r="E31" s="19">
        <f>E30*1000000</f>
        <v>4365.4481535641471</v>
      </c>
      <c r="F31" s="17">
        <f>ROUND(E31,4-(1+INT(LOG10(ABS(E31)))))</f>
        <v>4365</v>
      </c>
      <c r="G31" s="17" t="s">
        <v>0</v>
      </c>
      <c r="L31" s="7"/>
    </row>
    <row r="32" spans="1:12" ht="15" customHeight="1" x14ac:dyDescent="0.25">
      <c r="B32" s="15"/>
      <c r="C32" s="21"/>
      <c r="D32" s="16"/>
      <c r="E32" s="19"/>
      <c r="F32" s="17"/>
      <c r="G32" s="17"/>
      <c r="L32" s="7"/>
    </row>
    <row r="33" spans="3:12" x14ac:dyDescent="0.25">
      <c r="C33" s="13"/>
      <c r="D33" s="7"/>
      <c r="E33" s="8"/>
      <c r="L33" s="7"/>
    </row>
  </sheetData>
  <mergeCells count="5">
    <mergeCell ref="E25:F25"/>
    <mergeCell ref="E26:F26"/>
    <mergeCell ref="E27:F27"/>
    <mergeCell ref="E28:F28"/>
    <mergeCell ref="E29:F29"/>
  </mergeCells>
  <printOptions horizontalCentered="1" verticalCentered="1"/>
  <pageMargins left="0.23622047244094499" right="0.23622047244094499" top="0.35433070866141703" bottom="0.35433070866141703" header="0.118110236220472" footer="0.118110236220472"/>
  <pageSetup orientation="portrait" r:id="rId1"/>
  <headerFooter>
    <oddHeader>&amp;LTimothy Crowtz&amp;CELEC1000 Power Factor Correciton Assignment &amp;RDec. 10th, 2020</oddHead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Sheet1!_Hlk57307723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Crowtz</dc:creator>
  <cp:lastModifiedBy>Timothy Crowtz</cp:lastModifiedBy>
  <cp:lastPrinted>2020-12-10T19:20:50Z</cp:lastPrinted>
  <dcterms:created xsi:type="dcterms:W3CDTF">2020-12-05T20:02:33Z</dcterms:created>
  <dcterms:modified xsi:type="dcterms:W3CDTF">2020-12-10T19:21:02Z</dcterms:modified>
</cp:coreProperties>
</file>